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drawing+xml" PartName="/xl/drawings/drawing1.xml"/>
  <Override ContentType="application/vnd.openxmlformats-officedocument.spreadsheetml.worksheet+xml" PartName="/xl/worksheets/sheet4.xml"/>
  <Override ContentType="application/vnd.openxmlformats-officedocument.drawing+xml" PartName="/xl/drawings/drawing2.xml"/>
  <Override ContentType="application/vnd.openxmlformats-officedocument.spreadsheetml.worksheet+xml" PartName="/xl/worksheets/sheet5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1" autoFilterDateGrouping="1" firstSheet="1" minimized="0" showHorizontalScroll="1" showSheetTabs="1" showVerticalScroll="1" tabRatio="600" visibility="visible" windowHeight="15840" windowWidth="29040" xWindow="28680" yWindow="-120"/>
  </bookViews>
  <sheets>
    <sheet name="import" sheetId="1" state="visible" r:id="rId1"/>
    <sheet name="helper" sheetId="2" state="visible" r:id="rId2"/>
    <sheet name="charts_pg1" sheetId="3" state="visible" r:id="rId3"/>
    <sheet name="charts_pg2" sheetId="4" state="visible" r:id="rId4"/>
    <sheet name="charts_pg3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2">
    <numFmt formatCode="_(* #,##0_);_(* \(#,##0\);_(* &quot;-&quot;??_);_(@_)" numFmtId="164"/>
    <numFmt formatCode="0.0" numFmtId="165"/>
  </numFmts>
  <fonts count="18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 Light"/>
      <family val="2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57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</fonts>
  <fills count="33">
    <fill>
      <patternFill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borderId="0" fillId="0" fontId="1" numFmtId="0"/>
    <xf borderId="0" fillId="0" fontId="1" numFmtId="43"/>
    <xf borderId="0" fillId="0" fontId="1" numFmtId="9"/>
    <xf borderId="0" fillId="0" fontId="2" numFmtId="0"/>
    <xf borderId="1" fillId="0" fontId="3" numFmtId="0"/>
    <xf borderId="2" fillId="0" fontId="4" numFmtId="0"/>
    <xf borderId="3" fillId="0" fontId="5" numFmtId="0"/>
    <xf borderId="0" fillId="0" fontId="5" numFmtId="0"/>
    <xf borderId="0" fillId="2" fontId="6" numFmtId="0"/>
    <xf borderId="0" fillId="3" fontId="7" numFmtId="0"/>
    <xf borderId="0" fillId="4" fontId="8" numFmtId="0"/>
    <xf borderId="4" fillId="5" fontId="9" numFmtId="0"/>
    <xf borderId="5" fillId="6" fontId="10" numFmtId="0"/>
    <xf borderId="4" fillId="6" fontId="11" numFmtId="0"/>
    <xf borderId="6" fillId="0" fontId="12" numFmtId="0"/>
    <xf borderId="7" fillId="7" fontId="13" numFmtId="0"/>
    <xf borderId="0" fillId="0" fontId="14" numFmtId="0"/>
    <xf borderId="8" fillId="8" fontId="1" numFmtId="0"/>
    <xf borderId="0" fillId="0" fontId="15" numFmtId="0"/>
    <xf borderId="9" fillId="0" fontId="16" numFmtId="0"/>
    <xf borderId="0" fillId="9" fontId="17" numFmtId="0"/>
    <xf borderId="0" fillId="10" fontId="1" numFmtId="0"/>
    <xf borderId="0" fillId="11" fontId="1" numFmtId="0"/>
    <xf borderId="0" fillId="12" fontId="1" numFmtId="0"/>
    <xf borderId="0" fillId="13" fontId="17" numFmtId="0"/>
    <xf borderId="0" fillId="14" fontId="1" numFmtId="0"/>
    <xf borderId="0" fillId="15" fontId="1" numFmtId="0"/>
    <xf borderId="0" fillId="16" fontId="1" numFmtId="0"/>
    <xf borderId="0" fillId="17" fontId="17" numFmtId="0"/>
    <xf borderId="0" fillId="18" fontId="1" numFmtId="0"/>
    <xf borderId="0" fillId="19" fontId="1" numFmtId="0"/>
    <xf borderId="0" fillId="20" fontId="1" numFmtId="0"/>
    <xf borderId="0" fillId="21" fontId="17" numFmtId="0"/>
    <xf borderId="0" fillId="22" fontId="1" numFmtId="0"/>
    <xf borderId="0" fillId="23" fontId="1" numFmtId="0"/>
    <xf borderId="0" fillId="24" fontId="1" numFmtId="0"/>
    <xf borderId="0" fillId="25" fontId="17" numFmtId="0"/>
    <xf borderId="0" fillId="26" fontId="1" numFmtId="0"/>
    <xf borderId="0" fillId="27" fontId="1" numFmtId="0"/>
    <xf borderId="0" fillId="28" fontId="1" numFmtId="0"/>
    <xf borderId="0" fillId="29" fontId="17" numFmtId="0"/>
    <xf borderId="0" fillId="30" fontId="1" numFmtId="0"/>
    <xf borderId="0" fillId="31" fontId="1" numFmtId="0"/>
    <xf borderId="0" fillId="32" fontId="1" numFmtId="0"/>
  </cellStyleXfs>
  <cellXfs count="10">
    <xf borderId="0" fillId="0" fontId="0" numFmtId="0" pivotButton="0" quotePrefix="0" xfId="0"/>
    <xf borderId="0" fillId="0" fontId="0" numFmtId="9" pivotButton="0" quotePrefix="0" xfId="2"/>
    <xf borderId="0" fillId="0" fontId="0" numFmtId="164" pivotButton="0" quotePrefix="0" xfId="1"/>
    <xf borderId="0" fillId="0" fontId="0" numFmtId="43" pivotButton="0" quotePrefix="0" xfId="1"/>
    <xf borderId="0" fillId="0" fontId="0" numFmtId="2" pivotButton="0" quotePrefix="0" xfId="2"/>
    <xf borderId="0" fillId="0" fontId="0" numFmtId="2" pivotButton="0" quotePrefix="0" xfId="0"/>
    <xf borderId="0" fillId="0" fontId="0" numFmtId="2" pivotButton="0" quotePrefix="0" xfId="1"/>
    <xf borderId="0" fillId="0" fontId="0" numFmtId="165" pivotButton="0" quotePrefix="0" xfId="1"/>
    <xf borderId="0" fillId="0" fontId="16" numFmtId="0" pivotButton="0" quotePrefix="0" xfId="0"/>
    <xf applyAlignment="1" borderId="0" fillId="0" fontId="16" numFmtId="0" pivotButton="0" quotePrefix="0" xfId="0">
      <alignment wrapText="1"/>
    </xf>
  </cellXfs>
  <cellStyles count="44">
    <cellStyle builtinId="0" name="Normal" xfId="0"/>
    <cellStyle builtinId="3" name="Comma" xfId="1"/>
    <cellStyle builtinId="5" name="Percent" xfId="2"/>
    <cellStyle builtinId="15" name="Title" xfId="3"/>
    <cellStyle builtinId="16" name="Heading 1" xfId="4"/>
    <cellStyle builtinId="17" name="Heading 2" xfId="5"/>
    <cellStyle builtinId="18" name="Heading 3" xfId="6"/>
    <cellStyle builtinId="19" name="Heading 4" xfId="7"/>
    <cellStyle builtinId="26" name="Good" xfId="8"/>
    <cellStyle builtinId="27" name="Bad" xfId="9"/>
    <cellStyle builtinId="28" name="Neutral" xfId="10"/>
    <cellStyle builtinId="20" name="Input" xfId="11"/>
    <cellStyle builtinId="21" name="Output" xfId="12"/>
    <cellStyle builtinId="22" name="Calculation" xfId="13"/>
    <cellStyle builtinId="24" name="Linked Cell" xfId="14"/>
    <cellStyle builtinId="23" name="Check Cell" xfId="15"/>
    <cellStyle builtinId="11" name="Warning Text" xfId="16"/>
    <cellStyle builtinId="10" name="Note" xfId="17"/>
    <cellStyle builtinId="53" name="Explanatory Text" xfId="18"/>
    <cellStyle builtinId="25" name="Total" xfId="19"/>
    <cellStyle builtinId="29" name="Accent1" xfId="20"/>
    <cellStyle builtinId="30" name="20% - Accent1" xfId="21"/>
    <cellStyle builtinId="31" name="40% - Accent1" xfId="22"/>
    <cellStyle builtinId="32" name="60% - Accent1" xfId="23"/>
    <cellStyle builtinId="33" name="Accent2" xfId="24"/>
    <cellStyle builtinId="34" name="20% - Accent2" xfId="25"/>
    <cellStyle builtinId="35" name="40% - Accent2" xfId="26"/>
    <cellStyle builtinId="36" name="60% - Accent2" xfId="27"/>
    <cellStyle builtinId="37" name="Accent3" xfId="28"/>
    <cellStyle builtinId="38" name="20% - Accent3" xfId="29"/>
    <cellStyle builtinId="39" name="40% - Accent3" xfId="30"/>
    <cellStyle builtinId="40" name="60% - Accent3" xfId="31"/>
    <cellStyle builtinId="41" name="Accent4" xfId="32"/>
    <cellStyle builtinId="42" name="20% - Accent4" xfId="33"/>
    <cellStyle builtinId="43" name="40% - Accent4" xfId="34"/>
    <cellStyle builtinId="44" name="60% - Accent4" xfId="35"/>
    <cellStyle builtinId="45" name="Accent5" xfId="36"/>
    <cellStyle builtinId="46" name="20% - Accent5" xfId="37"/>
    <cellStyle builtinId="47" name="40% - Accent5" xfId="38"/>
    <cellStyle builtinId="48" name="60% - Accent5" xfId="39"/>
    <cellStyle builtinId="49" name="Accent6" xfId="40"/>
    <cellStyle builtinId="50" name="20% - Accent6" xfId="41"/>
    <cellStyle builtinId="51" name="40% - Accent6" xfId="42"/>
    <cellStyle builtinId="52" name="60% - Accent6" xfId="43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styles.xml" Type="http://schemas.openxmlformats.org/officeDocument/2006/relationships/styles" /><Relationship Id="rId7" Target="theme/theme1.xml" Type="http://schemas.openxmlformats.org/officeDocument/2006/relationships/theme" /><Relationship Id="rId8" Target="vbaProject.bin" Type="http://schemas.microsoft.com/office/2006/relationships/vbaProject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Jobs and Dwelling Units within 0.5mi of project</a:t>
            </a:r>
          </a:p>
        </rich>
      </tx>
      <overlay val="0"/>
      <spPr>
        <a:noFill/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stacked"/>
        <varyColors val="0"/>
        <ser>
          <idx val="0"/>
          <order val="0"/>
          <tx>
            <strRef>
              <f>import!$A$88</f>
              <strCache>
                <ptCount val="1"/>
                <pt idx="0">
                  <v>POP_TOT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import!$B$1:$C$1</f>
              <strCache>
                <ptCount val="2"/>
                <pt idx="0">
                  <v>projval_2016</v>
                </pt>
                <pt idx="1">
                  <v>projval_2040</v>
                </pt>
              </strCache>
            </strRef>
          </cat>
          <val>
            <numRef>
              <f>import!$B$88:$C$88</f>
              <numCache>
                <formatCode>_(* #,##0_);_(* \(#,##0\);_(* "-"??_);_(@_)</formatCode>
                <ptCount val="2"/>
                <pt idx="0">
                  <v>5797</v>
                </pt>
                <pt idx="1">
                  <v>6115</v>
                </pt>
              </numCache>
            </numRef>
          </val>
        </ser>
        <ser>
          <idx val="1"/>
          <order val="1"/>
          <tx>
            <strRef>
              <f>import!$A$89</f>
              <strCache>
                <ptCount val="1"/>
                <pt idx="0">
                  <v>DU_TOT</v>
                </pt>
              </strCache>
            </strRef>
          </tx>
          <spPr>
            <a:solidFill>
              <a:schemeClr val="accent2"/>
            </a:solidFill>
            <a:ln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import!$B$1:$C$1</f>
              <strCache>
                <ptCount val="2"/>
                <pt idx="0">
                  <v>projval_2016</v>
                </pt>
                <pt idx="1">
                  <v>projval_2040</v>
                </pt>
              </strCache>
            </strRef>
          </cat>
          <val>
            <numRef>
              <f>import!$B$89:$C$89</f>
              <numCache>
                <formatCode>_(* #,##0_);_(* \(#,##0\);_(* "-"??_);_(@_)</formatCode>
                <ptCount val="2"/>
                <pt idx="0">
                  <v>1916</v>
                </pt>
                <pt idx="1">
                  <v>2072.611115859987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1126743616"/>
        <axId val="1440870240"/>
      </barChart>
      <catAx>
        <axId val="112674361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40870240"/>
        <crosses val="autoZero"/>
        <auto val="1"/>
        <lblAlgn val="ctr"/>
        <lblOffset val="100"/>
        <noMultiLvlLbl val="0"/>
      </catAx>
      <valAx>
        <axId val="1440870240"/>
        <scaling>
          <orientation val="minMax"/>
        </scaling>
        <delete val="0"/>
        <axPos val="l"/>
        <majorGridlines>
          <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_(* #,##0_);_(* \(#,##0\);_(* &quot;-&quot;??_);_(@_)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6743616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Share of road collisions that are fatal or involve a cyclist or pedestrian</a:t>
            </a:r>
          </a:p>
        </rich>
      </tx>
      <overlay val="0"/>
      <spPr>
        <a:noFill/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import!$A$24</f>
              <strCache>
                <ptCount val="1"/>
                <pt idx="0">
                  <v xml:space="preserve"> PCT_FATAL_COLLISNS 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(import!$B$1,import!$D$1:$E$1)</f>
              <strCache>
                <ptCount val="3"/>
                <pt idx="0">
                  <v>projval_2016</v>
                </pt>
                <pt idx="1">
                  <v>Small-Town Established Communities_2016</v>
                </pt>
                <pt idx="2">
                  <v>REGION_2016</v>
                </pt>
              </strCache>
            </strRef>
          </cat>
          <val>
            <numRef>
              <f>(import!$B$24,import!$D$24:$E$24)</f>
              <numCache>
                <formatCode>0%</formatCode>
                <ptCount val="3"/>
                <pt idx="0">
                  <v>0.03571428571428572</v>
                </pt>
                <pt idx="1">
                  <v>0.02736982643524699</v>
                </pt>
                <pt idx="2">
                  <v>0.02022900763358779</v>
                </pt>
              </numCache>
            </numRef>
          </val>
        </ser>
        <ser>
          <idx val="1"/>
          <order val="1"/>
          <tx>
            <strRef>
              <f>import!$A$27</f>
              <strCache>
                <ptCount val="1"/>
                <pt idx="0">
                  <v>PCT_BIKEPED_COLLISNS</v>
                </pt>
              </strCache>
            </strRef>
          </tx>
          <spPr>
            <a:solidFill>
              <a:schemeClr val="accent2"/>
            </a:solidFill>
            <a:ln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(import!$B$1,import!$D$1:$E$1)</f>
              <strCache>
                <ptCount val="3"/>
                <pt idx="0">
                  <v>projval_2016</v>
                </pt>
                <pt idx="1">
                  <v>Small-Town Established Communities_2016</v>
                </pt>
                <pt idx="2">
                  <v>REGION_2016</v>
                </pt>
              </strCache>
            </strRef>
          </cat>
          <val>
            <numRef>
              <f>(import!$B$27,import!$D$27:$E$27)</f>
              <numCache>
                <formatCode>0%</formatCode>
                <ptCount val="3"/>
                <pt idx="0">
                  <v>0.05357142857142857</v>
                </pt>
                <pt idx="1">
                  <v>0.1348464619492657</v>
                </pt>
                <pt idx="2">
                  <v>0.1221919302071974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441562384"/>
        <axId val="1159554272"/>
      </barChart>
      <catAx>
        <axId val="1441562384"/>
        <scaling>
          <orientation val="minMax"/>
        </scaling>
        <delete val="0"/>
        <axPos val="b"/>
        <title>
          <tx>
            <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analysis Area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59554272"/>
        <crosses val="autoZero"/>
        <auto val="1"/>
        <lblAlgn val="ctr"/>
        <lblOffset val="100"/>
        <noMultiLvlLbl val="0"/>
      </catAx>
      <valAx>
        <axId val="1159554272"/>
        <scaling>
          <orientation val="minMax"/>
        </scaling>
        <delete val="0"/>
        <axPos val="l"/>
        <majorGridlines>
          <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/>
              <a:p>
                <a:r>
                  <a:t/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%" sourceLinked="1"/>
        <majorTickMark val="out"/>
        <minorTickMark val="none"/>
        <tickLblPos val="nextTo"/>
        <spPr>
          <a:noFill/>
          <a:ln>
            <a:noFill/>
            <a:prstDash val="solid"/>
          </a:ln>
        </spPr>
        <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4156238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v>Project</v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import!$A$8:$A$11</f>
              <strCache>
                <ptCount val="4"/>
                <pt idx="0">
                  <v xml:space="preserve"> WALKDESTSalljob </v>
                </pt>
                <pt idx="1">
                  <v xml:space="preserve"> BIKEDESTSalljob </v>
                </pt>
                <pt idx="2">
                  <v xml:space="preserve"> AUTODESTSalljob </v>
                </pt>
                <pt idx="3">
                  <v xml:space="preserve"> TRANDESTSalljob </v>
                </pt>
              </strCache>
            </strRef>
          </cat>
          <val>
            <numRef>
              <f>import!$B$8:$B$11</f>
              <numCache>
                <formatCode>_(* #,##0_);_(* \(#,##0\);_(* "-"??_);_(@_)</formatCode>
                <ptCount val="4"/>
                <pt idx="0">
                  <v>1013.770763052209</v>
                </pt>
                <pt idx="1">
                  <v>2709.195220883534</v>
                </pt>
                <pt idx="2">
                  <v>45512.18325301204</v>
                </pt>
                <pt idx="3">
                  <v>6491.779036144578</v>
                </pt>
              </numCache>
            </numRef>
          </val>
        </ser>
        <ser>
          <idx val="1"/>
          <order val="1"/>
          <tx>
            <v>Ctype</v>
          </tx>
          <spPr>
            <a:solidFill>
              <a:schemeClr val="accent2"/>
            </a:solidFill>
            <a:ln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import!$A$8:$A$11</f>
              <strCache>
                <ptCount val="4"/>
                <pt idx="0">
                  <v xml:space="preserve"> WALKDESTSalljob </v>
                </pt>
                <pt idx="1">
                  <v xml:space="preserve"> BIKEDESTSalljob </v>
                </pt>
                <pt idx="2">
                  <v xml:space="preserve"> AUTODESTSalljob </v>
                </pt>
                <pt idx="3">
                  <v xml:space="preserve"> TRANDESTSalljob </v>
                </pt>
              </strCache>
            </strRef>
          </cat>
          <val>
            <numRef>
              <f>import!$D$8:$D$11</f>
              <numCache>
                <formatCode>_(* #,##0_);_(* \(#,##0\);_(* "-"??_);_(@_)</formatCode>
                <ptCount val="4"/>
                <pt idx="0">
                  <v>1364.000856776242</v>
                </pt>
                <pt idx="1">
                  <v>7127.59822832505</v>
                </pt>
                <pt idx="2">
                  <v>115470.0531277389</v>
                </pt>
                <pt idx="3">
                  <v>3942.737865508205</v>
                </pt>
              </numCache>
            </numRef>
          </val>
        </ser>
        <ser>
          <idx val="2"/>
          <order val="2"/>
          <tx>
            <v>Region</v>
          </tx>
          <spPr>
            <a:solidFill>
              <a:schemeClr val="accent3"/>
            </a:solidFill>
            <a:ln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import!$A$8:$A$11</f>
              <strCache>
                <ptCount val="4"/>
                <pt idx="0">
                  <v xml:space="preserve"> WALKDESTSalljob </v>
                </pt>
                <pt idx="1">
                  <v xml:space="preserve"> BIKEDESTSalljob </v>
                </pt>
                <pt idx="2">
                  <v xml:space="preserve"> AUTODESTSalljob </v>
                </pt>
                <pt idx="3">
                  <v xml:space="preserve"> TRANDESTSalljob </v>
                </pt>
              </strCache>
            </strRef>
          </cat>
          <val>
            <numRef>
              <f>import!$E$8:$E$11</f>
              <numCache>
                <formatCode>_(* #,##0_);_(* \(#,##0\);_(* "-"??_);_(@_)</formatCode>
                <ptCount val="4"/>
                <pt idx="0">
                  <v>3842.410877719361</v>
                </pt>
                <pt idx="1">
                  <v>37354.0237093426</v>
                </pt>
                <pt idx="2">
                  <v>475047.2456961141</v>
                </pt>
                <pt idx="3">
                  <v>22213.19354707463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3144992"/>
        <axId val="476843424"/>
      </barChart>
      <catAx>
        <axId val="41314499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76843424"/>
        <crosses val="autoZero"/>
        <auto val="1"/>
        <lblAlgn val="ctr"/>
        <lblOffset val="100"/>
        <noMultiLvlLbl val="0"/>
      </catAx>
      <valAx>
        <axId val="476843424"/>
        <scaling>
          <orientation val="minMax"/>
        </scaling>
        <delete val="0"/>
        <axPos val="l"/>
        <majorGridlines>
          <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_(* #,##0_);_(* \(#,##0\);_(* &quot;-&quot;??_);_(@_)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3144992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 /><Relationship Id="rId2" Target="/xl/charts/chart2.xml" Type="http://schemas.openxmlformats.org/officeDocument/2006/relationships/chart" /></Relationships>
</file>

<file path=xl/drawings/_rels/drawing2.xml.rels><Relationships xmlns="http://schemas.openxmlformats.org/package/2006/relationships"><Relationship Id="rId1" Target="/xl/charts/chart3.xml" Type="http://schemas.openxmlformats.org/officeDocument/2006/relationships/chart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698500</colOff>
      <row>4</row>
      <rowOff>174625</rowOff>
    </from>
    <to>
      <col>7</col>
      <colOff>161925</colOff>
      <row>19</row>
      <rowOff>60325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0</col>
      <colOff>523875</colOff>
      <row>23</row>
      <rowOff>0</rowOff>
    </from>
    <to>
      <col>6</col>
      <colOff>590550</colOff>
      <row>38</row>
      <rowOff>66675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333375</colOff>
      <row>3</row>
      <rowOff>176212</rowOff>
    </from>
    <to>
      <col>8</col>
      <colOff>79375</colOff>
      <row>18</row>
      <rowOff>61912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Id="rId1" Target="/xl/drawings/drawing1.xml" Type="http://schemas.openxmlformats.org/officeDocument/2006/relationships/drawing" /></Relationships>
</file>

<file path=xl/worksheets/_rels/sheet4.xml.rels><Relationships xmlns="http://schemas.openxmlformats.org/package/2006/relationships"><Relationship Id="rId1" Target="/xl/drawings/drawing2.xml" Type="http://schemas.openxmlformats.org/officeDocument/2006/relationships/drawing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G115"/>
  <sheetViews>
    <sheetView workbookViewId="0">
      <pane activePane="bottomLeft" state="frozen" topLeftCell="A38" ySplit="1"/>
      <selection activeCell="G50" pane="bottomLeft" sqref="G50"/>
    </sheetView>
  </sheetViews>
  <sheetFormatPr baseColWidth="8" defaultRowHeight="15"/>
  <cols>
    <col bestFit="1" customWidth="1" max="1" min="1" width="32.5703125"/>
    <col bestFit="1" customWidth="1" max="2" min="2" width="12.140625"/>
    <col bestFit="1" customWidth="1" max="3" min="3" width="15.7109375"/>
    <col bestFit="1" customWidth="1" max="4" min="4" width="12.85546875"/>
    <col bestFit="1" customWidth="1" max="5" min="5" width="15.7109375"/>
    <col bestFit="1" customWidth="1" max="6" min="6" width="12.85546875"/>
  </cols>
  <sheetData>
    <row r="1">
      <c r="A1" t="inlineStr">
        <is>
          <t>data_item</t>
        </is>
      </c>
      <c r="B1" t="inlineStr">
        <is>
          <t>projval_2016</t>
        </is>
      </c>
      <c r="C1" t="inlineStr">
        <is>
          <t>projval_2040</t>
        </is>
      </c>
      <c r="D1" t="inlineStr">
        <is>
          <t>Small-Town Established Communities_2016</t>
        </is>
      </c>
      <c r="E1" t="inlineStr">
        <is>
          <t>REGION_2016</t>
        </is>
      </c>
      <c r="F1" t="inlineStr">
        <is>
          <t>Small-Town Established Communities_2040</t>
        </is>
      </c>
      <c r="G1" t="inlineStr">
        <is>
          <t>REGION_2040</t>
        </is>
      </c>
    </row>
    <row r="2">
      <c r="A2" t="inlineStr">
        <is>
          <t>project_name</t>
        </is>
      </c>
      <c r="B2" t="inlineStr">
        <is>
          <t>test_project_YubaCity</t>
        </is>
      </c>
    </row>
    <row r="3">
      <c r="A3" t="inlineStr">
        <is>
          <t>project_type</t>
        </is>
      </c>
      <c r="B3" t="inlineStr">
        <is>
          <t>Freeway</t>
        </is>
      </c>
    </row>
    <row r="4">
      <c r="A4" t="inlineStr">
        <is>
          <t>project_aadt</t>
        </is>
      </c>
      <c r="B4" t="n">
        <v>60000</v>
      </c>
    </row>
    <row r="5">
      <c r="A5" t="inlineStr">
        <is>
          <t>project_pci</t>
        </is>
      </c>
      <c r="B5" t="n">
        <v>60</v>
      </c>
    </row>
    <row r="6">
      <c r="A6" t="inlineStr">
        <is>
          <t>project_speedlim</t>
        </is>
      </c>
      <c r="B6" t="n">
        <v>65</v>
      </c>
    </row>
    <row r="7">
      <c r="A7" t="inlineStr">
        <is>
          <t>project_communtype</t>
        </is>
      </c>
      <c r="B7" t="inlineStr">
        <is>
          <t>Small-Town Established Communities</t>
        </is>
      </c>
    </row>
    <row r="8">
      <c r="A8" s="3" t="inlineStr">
        <is>
          <t>WALKDESTSalljob</t>
        </is>
      </c>
      <c r="B8" s="2" t="n">
        <v>1013.770763052209</v>
      </c>
      <c r="C8" s="2" t="n"/>
      <c r="D8" s="2" t="n">
        <v>1364.000856776242</v>
      </c>
      <c r="E8" s="2" t="n">
        <v>3842.410877719361</v>
      </c>
    </row>
    <row r="9">
      <c r="A9" s="3" t="inlineStr">
        <is>
          <t>BIKEDESTSalljob</t>
        </is>
      </c>
      <c r="B9" s="2" t="n">
        <v>2709.195220883534</v>
      </c>
      <c r="C9" s="2" t="n"/>
      <c r="D9" s="2" t="n">
        <v>7127.59822832505</v>
      </c>
      <c r="E9" s="2" t="n">
        <v>37354.0237093426</v>
      </c>
    </row>
    <row r="10">
      <c r="A10" s="3" t="inlineStr">
        <is>
          <t>AUTODESTSalljob</t>
        </is>
      </c>
      <c r="B10" s="2" t="n">
        <v>45512.18325301204</v>
      </c>
      <c r="C10" s="2" t="n"/>
      <c r="D10" s="2" t="n">
        <v>115470.0531277389</v>
      </c>
      <c r="E10" s="2" t="n">
        <v>475047.2456961141</v>
      </c>
    </row>
    <row r="11">
      <c r="A11" s="3" t="inlineStr">
        <is>
          <t>TRANDESTSalljob</t>
        </is>
      </c>
      <c r="B11" s="2" t="n">
        <v>6491.779036144578</v>
      </c>
      <c r="C11" s="2" t="n"/>
      <c r="D11" s="2" t="n">
        <v>3942.737865508205</v>
      </c>
      <c r="E11" s="2" t="n">
        <v>22213.19354707463</v>
      </c>
    </row>
    <row r="12">
      <c r="A12" s="3" t="inlineStr">
        <is>
          <t>WALKDESTSedu</t>
        </is>
      </c>
      <c r="B12" s="2" t="n">
        <v>1.221164658634538</v>
      </c>
      <c r="C12" s="2" t="n"/>
      <c r="D12" s="2" t="n">
        <v>2.835965789845696</v>
      </c>
      <c r="E12" s="2" t="n">
        <v>4.638241418756691</v>
      </c>
    </row>
    <row r="13">
      <c r="A13" s="3" t="inlineStr">
        <is>
          <t>BIKEDESTSedu</t>
        </is>
      </c>
      <c r="B13" s="2" t="n">
        <v>5.292851405622489</v>
      </c>
      <c r="C13" s="2" t="n"/>
      <c r="D13" s="2" t="n">
        <v>11.72541267493829</v>
      </c>
      <c r="E13" s="2" t="n">
        <v>38.1860827979409</v>
      </c>
    </row>
    <row r="14">
      <c r="A14" s="3" t="inlineStr">
        <is>
          <t>AUTODESTSedu</t>
        </is>
      </c>
      <c r="B14" s="2" t="n">
        <v>94.170281124498</v>
      </c>
      <c r="C14" s="2" t="n"/>
      <c r="D14" s="2" t="n">
        <v>163.7723231043594</v>
      </c>
      <c r="E14" s="2" t="n">
        <v>492.5529013364859</v>
      </c>
    </row>
    <row r="15">
      <c r="A15" s="3" t="inlineStr">
        <is>
          <t>TRANDESTSedu</t>
        </is>
      </c>
      <c r="B15" s="2" t="n">
        <v>10.89180722891566</v>
      </c>
      <c r="C15" s="2" t="n"/>
      <c r="D15" s="2" t="n">
        <v>6.36732348495558</v>
      </c>
      <c r="E15" s="2" t="n">
        <v>19.46065842045931</v>
      </c>
    </row>
    <row r="16">
      <c r="A16" s="3" t="inlineStr">
        <is>
          <t>WALKDESTSpoi2</t>
        </is>
      </c>
      <c r="B16" s="2" t="n">
        <v>7.551445783132531</v>
      </c>
      <c r="C16" s="2" t="n"/>
      <c r="D16" s="2" t="n">
        <v>9.6835892389165</v>
      </c>
      <c r="E16" s="2" t="n">
        <v>17.14719827643541</v>
      </c>
    </row>
    <row r="17">
      <c r="A17" s="3" t="inlineStr">
        <is>
          <t>BIKEDESTSpoi2</t>
        </is>
      </c>
      <c r="B17" s="2" t="n">
        <v>19.92510040160643</v>
      </c>
      <c r="C17" s="2" t="n"/>
      <c r="D17" s="2" t="n">
        <v>43.01199851023804</v>
      </c>
      <c r="E17" s="2" t="n">
        <v>140.100123535153</v>
      </c>
    </row>
    <row r="18">
      <c r="A18" s="3" t="inlineStr">
        <is>
          <t>AUTODESTSpoi2</t>
        </is>
      </c>
      <c r="B18" s="2" t="n">
        <v>238.2730923694779</v>
      </c>
      <c r="C18" s="2" t="n"/>
      <c r="D18" s="2" t="n">
        <v>144.6446102151999</v>
      </c>
      <c r="E18" s="2" t="n">
        <v>520.3276979954376</v>
      </c>
    </row>
    <row r="19">
      <c r="A19" s="3" t="inlineStr">
        <is>
          <t>TRANDESTSpoi2</t>
        </is>
      </c>
      <c r="B19" s="2" t="n">
        <v>51.08088353413655</v>
      </c>
      <c r="C19" s="2" t="n"/>
      <c r="D19" s="2" t="n">
        <v>25.24136585074108</v>
      </c>
      <c r="E19" s="2" t="n">
        <v>77.93892290099564</v>
      </c>
    </row>
    <row r="20">
      <c r="A20" s="3" t="inlineStr">
        <is>
          <t>TOT_COLLISNS</t>
        </is>
      </c>
      <c r="B20" s="2" t="n">
        <v>56</v>
      </c>
      <c r="C20" s="2" t="n"/>
      <c r="D20" s="2" t="n">
        <v>1498</v>
      </c>
      <c r="E20" s="2" t="n">
        <v>55020</v>
      </c>
    </row>
    <row r="21">
      <c r="A21" s="3" t="inlineStr">
        <is>
          <t>TOT_COLLISNS_PER_100MVMT</t>
        </is>
      </c>
      <c r="B21" s="3" t="n">
        <v>41.28546580394078</v>
      </c>
      <c r="C21" s="3" t="n"/>
      <c r="D21" s="3" t="n">
        <v>61.1353623111558</v>
      </c>
      <c r="E21" t="n">
        <v>63.36983481895877</v>
      </c>
    </row>
    <row r="22">
      <c r="A22" s="3" t="inlineStr">
        <is>
          <t>FATAL_COLLISNS</t>
        </is>
      </c>
      <c r="B22" s="3" t="n">
        <v>2</v>
      </c>
      <c r="C22" s="3" t="n"/>
      <c r="D22" s="3" t="n">
        <v>41</v>
      </c>
      <c r="E22" t="n">
        <v>1113</v>
      </c>
    </row>
    <row r="23">
      <c r="A23" s="3" t="inlineStr">
        <is>
          <t>FATAL_COLLISNS_PER_100MVMT</t>
        </is>
      </c>
      <c r="B23" s="3" t="n">
        <v>1.474480921569314</v>
      </c>
      <c r="C23" s="3" t="n"/>
      <c r="D23" s="3" t="n">
        <v>1.673264255512274</v>
      </c>
      <c r="E23" t="n">
        <v>1.281908872291914</v>
      </c>
    </row>
    <row r="24">
      <c r="A24" s="3" t="inlineStr">
        <is>
          <t>PCT_FATAL_COLLISNS</t>
        </is>
      </c>
      <c r="B24" s="1" t="n">
        <v>0.03571428571428572</v>
      </c>
      <c r="C24" s="3" t="n"/>
      <c r="D24" s="1" t="n">
        <v>0.02736982643524699</v>
      </c>
      <c r="E24" s="1" t="n">
        <v>0.02022900763358779</v>
      </c>
    </row>
    <row r="25">
      <c r="A25" s="3" t="inlineStr">
        <is>
          <t>BIKEPED_COLLISNS</t>
        </is>
      </c>
      <c r="B25" s="3" t="n">
        <v>3</v>
      </c>
      <c r="C25" s="3" t="n"/>
      <c r="D25" s="3" t="n">
        <v>202</v>
      </c>
      <c r="E25" t="n">
        <v>6723</v>
      </c>
    </row>
    <row r="26">
      <c r="A26" s="1" t="inlineStr">
        <is>
          <t>BIKEPED_COLLISNS_PER_CLMILE</t>
        </is>
      </c>
      <c r="B26" s="4" t="n">
        <v>2.123252527059812</v>
      </c>
      <c r="C26" s="4" t="n"/>
      <c r="D26" s="4" t="n">
        <v>0.2852451001700632</v>
      </c>
      <c r="E26" s="5" t="n">
        <v>0.4014009290876814</v>
      </c>
    </row>
    <row r="27">
      <c r="A27" s="1" t="inlineStr">
        <is>
          <t>PCT_BIKEPED_COLLISNS</t>
        </is>
      </c>
      <c r="B27" s="1" t="n">
        <v>0.05357142857142857</v>
      </c>
      <c r="C27" s="1" t="n"/>
      <c r="D27" s="1" t="n">
        <v>0.1348464619492657</v>
      </c>
      <c r="E27" s="1" t="n">
        <v>0.1221919302071974</v>
      </c>
    </row>
    <row customHeight="1" ht="14.25" r="28">
      <c r="A28" t="inlineStr">
        <is>
          <t>complete_street_score</t>
        </is>
      </c>
      <c r="B28" t="n">
        <v>-1</v>
      </c>
    </row>
    <row r="29">
      <c r="A29" t="inlineStr">
        <is>
          <t>pct_proj_STAATruckRoutes</t>
        </is>
      </c>
      <c r="B29" t="n">
        <v>1</v>
      </c>
    </row>
    <row r="30">
      <c r="A30" t="inlineStr">
        <is>
          <t>Trk_Veh_Pc_proj</t>
        </is>
      </c>
      <c r="B30" t="n">
        <v>7.849999999999999</v>
      </c>
    </row>
    <row r="31">
      <c r="A31" t="inlineStr">
        <is>
          <t>total_net_pcl_acres</t>
        </is>
      </c>
      <c r="B31" s="2" t="n">
        <v>1175.845221386116</v>
      </c>
    </row>
    <row r="32">
      <c r="A32" t="inlineStr">
        <is>
          <t>net_Agriculture_acres</t>
        </is>
      </c>
      <c r="B32" t="n">
        <v>145.3637036175207</v>
      </c>
    </row>
    <row r="33">
      <c r="A33" t="inlineStr">
        <is>
          <t>pct_Agriculture_inbuff</t>
        </is>
      </c>
      <c r="B33" t="n">
        <v>0.1236248623319337</v>
      </c>
    </row>
    <row r="34">
      <c r="A34" t="inlineStr">
        <is>
          <t>Intersxn_34_per_acre</t>
        </is>
      </c>
      <c r="B34" s="5" t="n">
        <v>0.1021114271418558</v>
      </c>
      <c r="C34" s="5" t="n"/>
      <c r="D34" s="5" t="n">
        <v>0.05884413477423325</v>
      </c>
      <c r="E34" s="5" t="n">
        <v>0.01480071598380431</v>
      </c>
    </row>
    <row r="35">
      <c r="A35" t="inlineStr">
        <is>
          <t>NORTHBOUND_calc_len</t>
        </is>
      </c>
      <c r="B35" s="7" t="n"/>
    </row>
    <row r="36">
      <c r="A36" t="inlineStr">
        <is>
          <t>NORTHBOUNDff_speed</t>
        </is>
      </c>
      <c r="B36" s="7" t="n"/>
    </row>
    <row r="37">
      <c r="A37" t="inlineStr">
        <is>
          <t>NORTHBOUNDhavg_spd_worst4hrs</t>
        </is>
      </c>
      <c r="B37" s="7" t="n"/>
    </row>
    <row r="38">
      <c r="A38" t="inlineStr">
        <is>
          <t>NORTHBOUNDlottr_ampk</t>
        </is>
      </c>
      <c r="B38" s="7" t="n"/>
    </row>
    <row r="39">
      <c r="A39" t="inlineStr">
        <is>
          <t>NORTHBOUNDlottr_midday</t>
        </is>
      </c>
      <c r="B39" s="7" t="n"/>
    </row>
    <row r="40">
      <c r="A40" t="inlineStr">
        <is>
          <t>NORTHBOUNDlottr_pmpk</t>
        </is>
      </c>
      <c r="B40" s="7" t="n"/>
    </row>
    <row r="41">
      <c r="A41" t="inlineStr">
        <is>
          <t>NORTHBOUNDlottr_wknd</t>
        </is>
      </c>
      <c r="B41" s="7" t="n"/>
    </row>
    <row r="42">
      <c r="A42" t="inlineStr">
        <is>
          <t>SOUTHBOUND_calc_len</t>
        </is>
      </c>
      <c r="B42" s="7" t="n"/>
    </row>
    <row r="43">
      <c r="A43" t="inlineStr">
        <is>
          <t>SOUTHBOUNDff_speed</t>
        </is>
      </c>
      <c r="B43" s="7" t="n"/>
    </row>
    <row r="44">
      <c r="A44" t="inlineStr">
        <is>
          <t>SOUTHBOUNDhavg_spd_worst4hrs</t>
        </is>
      </c>
      <c r="B44" s="7" t="n"/>
    </row>
    <row r="45">
      <c r="A45" t="inlineStr">
        <is>
          <t>SOUTHBOUNDlottr_ampk</t>
        </is>
      </c>
      <c r="B45" s="7" t="n"/>
    </row>
    <row r="46">
      <c r="A46" t="inlineStr">
        <is>
          <t>SOUTHBOUNDlottr_midday</t>
        </is>
      </c>
      <c r="B46" s="7" t="n"/>
    </row>
    <row r="47">
      <c r="A47" t="inlineStr">
        <is>
          <t>SOUTHBOUNDlottr_pmpk</t>
        </is>
      </c>
      <c r="B47" s="7" t="n"/>
    </row>
    <row r="48">
      <c r="A48" t="inlineStr">
        <is>
          <t>SOUTHBOUNDlottr_wknd</t>
        </is>
      </c>
      <c r="B48" s="7" t="n"/>
    </row>
    <row r="49">
      <c r="A49" t="inlineStr">
        <is>
          <t>EASTBOUND_calc_len</t>
        </is>
      </c>
      <c r="B49" s="7" t="n">
        <v>7460.252512665099</v>
      </c>
    </row>
    <row r="50">
      <c r="A50" t="inlineStr">
        <is>
          <t>EASTBOUNDff_speed</t>
        </is>
      </c>
      <c r="B50" s="7" t="n">
        <v>63.35926610710732</v>
      </c>
    </row>
    <row r="51">
      <c r="A51" t="inlineStr">
        <is>
          <t>EASTBOUNDhavg_spd_worst4hrs</t>
        </is>
      </c>
      <c r="B51" s="7" t="n">
        <v>39.85715015912339</v>
      </c>
    </row>
    <row r="52">
      <c r="A52" t="inlineStr">
        <is>
          <t>EASTBOUNDlottr_ampk</t>
        </is>
      </c>
      <c r="B52" s="7" t="n">
        <v>1.147815240367919</v>
      </c>
    </row>
    <row r="53">
      <c r="A53" t="inlineStr">
        <is>
          <t>EASTBOUNDlottr_midday</t>
        </is>
      </c>
      <c r="B53" s="7" t="n">
        <v>1.162867114075685</v>
      </c>
    </row>
    <row r="54">
      <c r="A54" t="inlineStr">
        <is>
          <t>EASTBOUNDlottr_pmpk</t>
        </is>
      </c>
      <c r="B54" s="7" t="n">
        <v>1.323087321541778</v>
      </c>
    </row>
    <row r="55">
      <c r="A55" t="inlineStr">
        <is>
          <t>EASTBOUNDlottr_wknd</t>
        </is>
      </c>
      <c r="B55" s="7" t="n">
        <v>1.201010575367235</v>
      </c>
    </row>
    <row r="56">
      <c r="A56" t="inlineStr">
        <is>
          <t>WESTBOUND_calc_len</t>
        </is>
      </c>
      <c r="B56" s="7" t="n">
        <v>7460.252512682709</v>
      </c>
    </row>
    <row r="57">
      <c r="A57" t="inlineStr">
        <is>
          <t>WESTBOUNDff_speed</t>
        </is>
      </c>
      <c r="B57" s="7" t="n">
        <v>66.43199094269669</v>
      </c>
    </row>
    <row r="58">
      <c r="A58" t="inlineStr">
        <is>
          <t>WESTBOUNDhavg_spd_worst4hrs</t>
        </is>
      </c>
      <c r="B58" s="7" t="n">
        <v>54.40926802653502</v>
      </c>
    </row>
    <row r="59">
      <c r="A59" t="inlineStr">
        <is>
          <t>WESTBOUNDlottr_ampk</t>
        </is>
      </c>
      <c r="B59" s="7" t="n">
        <v>1.081819835884438</v>
      </c>
    </row>
    <row r="60">
      <c r="A60" t="inlineStr">
        <is>
          <t>WESTBOUNDlottr_midday</t>
        </is>
      </c>
      <c r="B60" s="7" t="n">
        <v>1.091630634013671</v>
      </c>
    </row>
    <row r="61">
      <c r="A61" t="inlineStr">
        <is>
          <t>WESTBOUNDlottr_pmpk</t>
        </is>
      </c>
      <c r="B61" s="7" t="n">
        <v>1.10910333948567</v>
      </c>
    </row>
    <row r="62">
      <c r="A62" t="inlineStr">
        <is>
          <t>WESTBOUNDlottr_wknd</t>
        </is>
      </c>
      <c r="B62" s="7" t="n">
        <v>1.094718760720098</v>
      </c>
    </row>
    <row r="63">
      <c r="A63" s="2" t="inlineStr">
        <is>
          <t>TrnVehStop_Acre</t>
        </is>
      </c>
      <c r="B63" s="2" t="n">
        <v>1.872619731652339</v>
      </c>
      <c r="D63" t="n">
        <v>0.07414928495812816</v>
      </c>
      <c r="E63" t="n">
        <v>0.07332683167880813</v>
      </c>
    </row>
    <row r="64">
      <c r="A64" s="2" t="inlineStr">
        <is>
          <t>pct_roadmi_bikeways</t>
        </is>
      </c>
      <c r="B64" s="2" t="n">
        <v>0.3336833697341408</v>
      </c>
      <c r="D64" t="n">
        <v>0.0994963325604792</v>
      </c>
      <c r="E64" t="n">
        <v>0.1052465714535069</v>
      </c>
    </row>
    <row r="65">
      <c r="A65" s="2" t="inlineStr">
        <is>
          <t>Project's use of existing assets</t>
        </is>
      </c>
      <c r="B65" s="2" t="inlineStr">
        <is>
          <t>Infill project</t>
        </is>
      </c>
    </row>
    <row r="66">
      <c r="A66" s="2" t="inlineStr">
        <is>
          <t>EMPTOT_NetPclAcre</t>
        </is>
      </c>
      <c r="B66" s="2" t="n">
        <v>1.362438972452772</v>
      </c>
    </row>
    <row r="67">
      <c r="A67" s="2" t="inlineStr">
        <is>
          <t>DU_TOT_NetPclAcre</t>
        </is>
      </c>
      <c r="B67" s="2" t="n">
        <v>1.475654647382425</v>
      </c>
    </row>
    <row r="68">
      <c r="A68" s="2" t="inlineStr">
        <is>
          <t>job_du_perNetAcre</t>
        </is>
      </c>
      <c r="B68" s="2" t="n">
        <v>2.838093619835197</v>
      </c>
      <c r="D68" t="n">
        <v>1.443210948938651</v>
      </c>
      <c r="E68" t="n">
        <v>0.3850674575639819</v>
      </c>
    </row>
    <row r="69">
      <c r="A69" s="2" t="inlineStr">
        <is>
          <t>Pop_NonEJArea</t>
        </is>
      </c>
      <c r="B69" s="2" t="n">
        <v>1747</v>
      </c>
    </row>
    <row r="70">
      <c r="A70" s="2" t="inlineStr">
        <is>
          <t>Pop_EJArea</t>
        </is>
      </c>
      <c r="B70" s="2" t="n">
        <v>4050</v>
      </c>
    </row>
    <row r="71">
      <c r="A71" s="2" t="inlineStr">
        <is>
          <t>Pct_PopEJArea</t>
        </is>
      </c>
      <c r="B71" s="2" t="n">
        <v>0.6986372261514576</v>
      </c>
      <c r="D71" t="n">
        <v>0.3473015342167969</v>
      </c>
      <c r="E71" t="n">
        <v>0.3746385676273582</v>
      </c>
    </row>
    <row r="72">
      <c r="A72" s="2" t="inlineStr">
        <is>
          <t>WALKDESTSalljob_EJ</t>
        </is>
      </c>
      <c r="B72" s="2" t="n">
        <v>1013.770763052209</v>
      </c>
    </row>
    <row r="73">
      <c r="A73" s="2" t="inlineStr">
        <is>
          <t>BIKEDESTSalljob_EJ</t>
        </is>
      </c>
      <c r="B73" s="2" t="n">
        <v>2709.195220883534</v>
      </c>
    </row>
    <row r="74">
      <c r="A74" s="1" t="inlineStr">
        <is>
          <t>AUTODESTSalljob_EJ</t>
        </is>
      </c>
      <c r="B74" s="2" t="n">
        <v>45512.18325301204</v>
      </c>
    </row>
    <row r="75">
      <c r="A75" s="1" t="inlineStr">
        <is>
          <t>TRANDESTSalljob_EJ</t>
        </is>
      </c>
      <c r="B75" s="2" t="n">
        <v>6491.779036144578</v>
      </c>
    </row>
    <row r="76">
      <c r="A76" s="1" t="inlineStr">
        <is>
          <t>WALKDESTSlowjobs_EJ</t>
        </is>
      </c>
      <c r="B76" s="2" t="n">
        <v>272.6602409638554</v>
      </c>
    </row>
    <row r="77">
      <c r="A77" s="1" t="inlineStr">
        <is>
          <t>BIKEDESTSlowjobs_EJ</t>
        </is>
      </c>
      <c r="B77" s="2" t="n">
        <v>795.2533333333333</v>
      </c>
    </row>
    <row r="78">
      <c r="A78" s="1" t="inlineStr">
        <is>
          <t>AUTODESTSlowjobs_EJ</t>
        </is>
      </c>
      <c r="B78" s="2" t="n">
        <v>12386.82514056225</v>
      </c>
    </row>
    <row r="79">
      <c r="A79" s="1" t="inlineStr">
        <is>
          <t>TRANDESTSlowjob_EJ</t>
        </is>
      </c>
      <c r="B79" s="2" t="n">
        <v>1514.918554216867</v>
      </c>
    </row>
    <row r="80">
      <c r="A80" t="inlineStr">
        <is>
          <t>WALKDESTSedu_EJ</t>
        </is>
      </c>
      <c r="B80" s="2" t="n">
        <v>1.221164658634538</v>
      </c>
    </row>
    <row r="81">
      <c r="A81" t="inlineStr">
        <is>
          <t>BIKEDESTSedu_EJ</t>
        </is>
      </c>
      <c r="B81" s="2" t="n">
        <v>5.292851405622489</v>
      </c>
    </row>
    <row r="82">
      <c r="A82" t="inlineStr">
        <is>
          <t>AUTODESTSedu_EJ</t>
        </is>
      </c>
      <c r="B82" s="2" t="n">
        <v>94.170281124498</v>
      </c>
    </row>
    <row r="83">
      <c r="A83" t="inlineStr">
        <is>
          <t>TRANDESTSedu_EJ</t>
        </is>
      </c>
      <c r="B83" s="2" t="n">
        <v>10.89180722891566</v>
      </c>
    </row>
    <row r="84">
      <c r="A84" t="inlineStr">
        <is>
          <t>WALKDESTSpoi2_EJ</t>
        </is>
      </c>
      <c r="B84" s="2" t="n">
        <v>7.551445783132531</v>
      </c>
    </row>
    <row r="85">
      <c r="A85" t="inlineStr">
        <is>
          <t>BIKEDESTSpoi2_EJ</t>
        </is>
      </c>
      <c r="B85" s="2" t="n">
        <v>19.92510040160643</v>
      </c>
    </row>
    <row r="86">
      <c r="A86" t="inlineStr">
        <is>
          <t>AUTODESTSpoi2_EJ</t>
        </is>
      </c>
      <c r="B86" s="2" t="n">
        <v>238.2730923694779</v>
      </c>
    </row>
    <row r="87">
      <c r="A87" t="inlineStr">
        <is>
          <t>TRANDESTSpoi2_EJ</t>
        </is>
      </c>
      <c r="B87" s="2" t="n">
        <v>51.08088353413655</v>
      </c>
    </row>
    <row r="88">
      <c r="A88" t="inlineStr">
        <is>
          <t>POP_TOT</t>
        </is>
      </c>
      <c r="B88" s="2" t="n">
        <v>5797</v>
      </c>
      <c r="C88" s="2" t="n">
        <v>6115</v>
      </c>
    </row>
    <row r="89">
      <c r="A89" t="inlineStr">
        <is>
          <t>DU_TOT</t>
        </is>
      </c>
      <c r="B89" s="2" t="n">
        <v>1916</v>
      </c>
      <c r="C89" s="2" t="n">
        <v>2072.611115859987</v>
      </c>
    </row>
    <row r="90">
      <c r="A90" t="inlineStr">
        <is>
          <t>EMPTOT</t>
        </is>
      </c>
      <c r="B90" s="2" t="n">
        <v>1769</v>
      </c>
      <c r="C90" s="2" t="n">
        <v>2761.659999999999</v>
      </c>
    </row>
    <row r="91">
      <c r="A91" t="inlineStr">
        <is>
          <t>ENR_K12</t>
        </is>
      </c>
      <c r="B91" s="2" t="n">
        <v>657</v>
      </c>
      <c r="C91" s="2" t="n">
        <v>796</v>
      </c>
    </row>
    <row r="92">
      <c r="A92" t="inlineStr">
        <is>
          <t>EMPIND</t>
        </is>
      </c>
      <c r="B92" s="2" t="n">
        <v>125.11</v>
      </c>
      <c r="C92" s="2" t="n">
        <v>134.03</v>
      </c>
    </row>
    <row r="93">
      <c r="A93" t="inlineStr">
        <is>
          <t>PT_TOT_RES</t>
        </is>
      </c>
      <c r="B93" s="2" t="n">
        <v>19593</v>
      </c>
      <c r="C93" s="2" t="n">
        <v>21044</v>
      </c>
    </row>
    <row r="94">
      <c r="A94" t="inlineStr">
        <is>
          <t>SOV_TOT_RES</t>
        </is>
      </c>
      <c r="B94" s="2" t="n">
        <v>6806</v>
      </c>
      <c r="C94" s="2" t="n">
        <v>7661</v>
      </c>
    </row>
    <row r="95">
      <c r="A95" t="inlineStr">
        <is>
          <t>HOV_TOT_RES</t>
        </is>
      </c>
      <c r="B95" s="2" t="n">
        <v>10373</v>
      </c>
      <c r="C95" s="2" t="n">
        <v>10477</v>
      </c>
    </row>
    <row r="96">
      <c r="A96" t="inlineStr">
        <is>
          <t>TRN_TOT_RES</t>
        </is>
      </c>
      <c r="B96" s="2" t="n">
        <v>184</v>
      </c>
      <c r="C96" s="2" t="n">
        <v>294</v>
      </c>
    </row>
    <row r="97">
      <c r="A97" t="inlineStr">
        <is>
          <t>BIK_TOT_RES</t>
        </is>
      </c>
      <c r="B97" s="2" t="n">
        <v>381</v>
      </c>
      <c r="C97" s="2" t="n">
        <v>429</v>
      </c>
    </row>
    <row r="98">
      <c r="A98" t="inlineStr">
        <is>
          <t>WLK_TOT_RES</t>
        </is>
      </c>
      <c r="B98" s="2" t="n">
        <v>1526</v>
      </c>
      <c r="C98" s="2" t="n">
        <v>1827</v>
      </c>
    </row>
    <row r="99">
      <c r="A99" t="inlineStr">
        <is>
          <t>EMPIND_jobshare</t>
        </is>
      </c>
      <c r="B99" s="1" t="n">
        <v>0.07072357263990954</v>
      </c>
      <c r="C99" s="1" t="n">
        <v>0.04853240442342649</v>
      </c>
      <c r="D99" s="1" t="n">
        <v>0.1343871705182399</v>
      </c>
      <c r="E99" s="1" t="n">
        <v>0.1302149776928911</v>
      </c>
    </row>
    <row r="100">
      <c r="A100" t="inlineStr">
        <is>
          <t>SOV_TOT_RES_share</t>
        </is>
      </c>
      <c r="B100" t="n">
        <v>0.3473689583014342</v>
      </c>
      <c r="C100" t="n">
        <v>0.3640467591712602</v>
      </c>
    </row>
    <row r="101">
      <c r="A101" t="inlineStr">
        <is>
          <t>HOV_TOT_RES_share</t>
        </is>
      </c>
      <c r="B101" t="n">
        <v>0.5294237737967642</v>
      </c>
      <c r="C101" t="n">
        <v>0.4978616232655388</v>
      </c>
    </row>
    <row r="102">
      <c r="A102" t="inlineStr">
        <is>
          <t>TRN_TOT_RES_share</t>
        </is>
      </c>
      <c r="B102" t="n">
        <v>0.00939110906956566</v>
      </c>
      <c r="C102" t="n">
        <v>0.01397072799847938</v>
      </c>
    </row>
    <row r="103">
      <c r="A103" t="inlineStr">
        <is>
          <t>BIK_TOT_RES_share</t>
        </is>
      </c>
      <c r="B103" t="n">
        <v>0.01944572041035064</v>
      </c>
      <c r="C103" t="n">
        <v>0.02038585820186276</v>
      </c>
    </row>
    <row r="104">
      <c r="A104" t="inlineStr">
        <is>
          <t>WLK_TOT_RES_share</t>
        </is>
      </c>
      <c r="B104" t="n">
        <v>0.07788495891389782</v>
      </c>
      <c r="C104" t="n">
        <v>0.08681809541912185</v>
      </c>
    </row>
    <row r="105">
      <c r="A105" t="inlineStr">
        <is>
          <t>SUM_JOB_DU</t>
        </is>
      </c>
      <c r="B105" s="2" t="n">
        <v>3685</v>
      </c>
      <c r="C105" s="2" t="n">
        <v>4834.271115859986</v>
      </c>
    </row>
    <row r="106">
      <c r="A106" t="inlineStr">
        <is>
          <t>avg_2way_trantrips</t>
        </is>
      </c>
      <c r="B106" t="n">
        <v>13.04784264365352</v>
      </c>
      <c r="C106" t="n">
        <v>69.30195592104799</v>
      </c>
    </row>
    <row r="107">
      <c r="A107" t="inlineStr">
        <is>
          <t>avg_2way_vehocc</t>
        </is>
      </c>
      <c r="B107" t="n">
        <v>1.371095636605366</v>
      </c>
      <c r="C107" t="n">
        <v>1.358223085827187</v>
      </c>
    </row>
    <row r="108">
      <c r="A108" t="inlineStr">
        <is>
          <t>mix_index</t>
        </is>
      </c>
      <c r="B108" s="5" t="n">
        <v>0.6844707776943215</v>
      </c>
      <c r="C108" s="5" t="n">
        <v>0.6819231917940526</v>
      </c>
      <c r="D108" s="5" t="n">
        <v>0.6262206970088012</v>
      </c>
      <c r="E108" s="5" t="n">
        <v>0.9999891200962348</v>
      </c>
      <c r="F108" s="5" t="n">
        <v>0.6582471312842735</v>
      </c>
      <c r="G108" s="5" t="n">
        <v>0.9308534957530498</v>
      </c>
    </row>
    <row r="109">
      <c r="A109" t="inlineStr">
        <is>
          <t>High Density</t>
        </is>
      </c>
      <c r="B109" s="2" t="n">
        <v>286</v>
      </c>
      <c r="C109" s="2" t="n">
        <v>286</v>
      </c>
    </row>
    <row r="110">
      <c r="A110" t="inlineStr">
        <is>
          <t>Low Density</t>
        </is>
      </c>
      <c r="B110" s="2" t="n">
        <v>2616</v>
      </c>
      <c r="C110" s="2" t="n">
        <v>2720.69352274998</v>
      </c>
    </row>
    <row r="111">
      <c r="A111" t="inlineStr">
        <is>
          <t>Med-High Density</t>
        </is>
      </c>
      <c r="B111" s="2" t="n">
        <v>434</v>
      </c>
      <c r="C111" s="2" t="n">
        <v>626.7243468800002</v>
      </c>
    </row>
    <row r="112">
      <c r="A112" t="inlineStr">
        <is>
          <t>Medium Density</t>
        </is>
      </c>
      <c r="B112" s="2" t="n">
        <v>757</v>
      </c>
      <c r="C112" s="2" t="n">
        <v>832.5118686999999</v>
      </c>
    </row>
    <row r="113">
      <c r="A113" t="inlineStr">
        <is>
          <t>Mixed Use</t>
        </is>
      </c>
      <c r="B113" s="2" t="n">
        <v>27</v>
      </c>
      <c r="C113" s="2" t="n">
        <v>99.32134895999999</v>
      </c>
    </row>
    <row r="114">
      <c r="A114" t="inlineStr">
        <is>
          <t>Very Low or Rural Res Density</t>
        </is>
      </c>
      <c r="B114" s="2" t="n">
        <v>567</v>
      </c>
      <c r="C114" s="2" t="n">
        <v>583.341350529998</v>
      </c>
    </row>
    <row r="115">
      <c r="A115" t="inlineStr">
        <is>
          <t>nat_resource_acres</t>
        </is>
      </c>
      <c r="B115" s="6" t="n">
        <v>145.3637036175207</v>
      </c>
      <c r="C115" s="6" t="n">
        <v>120.6959734688332</v>
      </c>
    </row>
  </sheetData>
  <pageMargins bottom="0.75" footer="0.3" header="0.3" left="0.7" right="0.7" top="0.75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tabSelected="1" workbookViewId="0">
      <selection activeCell="A1" sqref="A1"/>
    </sheetView>
  </sheetViews>
  <sheetFormatPr baseColWidth="8" defaultRowHeight="15"/>
  <sheetData/>
  <pageMargins bottom="0.75" footer="0.3" header="0.3" left="0.7" right="0.7" top="0.75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1:B22"/>
  <sheetViews>
    <sheetView view="pageBreakPreview" workbookViewId="0" zoomScale="60" zoomScaleNormal="100">
      <selection activeCell="R17" sqref="R17"/>
    </sheetView>
  </sheetViews>
  <sheetFormatPr baseColWidth="8" defaultRowHeight="15"/>
  <cols>
    <col customWidth="1" max="1" min="1" width="21.5703125"/>
  </cols>
  <sheetData>
    <row r="1">
      <c r="A1" s="8" t="inlineStr">
        <is>
          <t>PROJECT NAME</t>
        </is>
      </c>
      <c r="B1">
        <f>import!B2</f>
        <v/>
      </c>
    </row>
    <row customHeight="1" ht="48.75" r="2">
      <c r="A2" s="9" t="inlineStr">
        <is>
          <t>PROJECT COMMUNITY TYPE</t>
        </is>
      </c>
      <c r="B2">
        <f>import!B7</f>
        <v/>
      </c>
    </row>
    <row r="4">
      <c r="A4" t="inlineStr">
        <is>
          <t>Test text description about first chart on page</t>
        </is>
      </c>
    </row>
    <row r="22">
      <c r="A22" t="inlineStr">
        <is>
          <t>Test text description about second chart on page</t>
        </is>
      </c>
    </row>
  </sheetData>
  <pageMargins bottom="0.75" footer="0.3" header="0.3" left="0.7" right="0.7" top="0.75"/>
  <pageSetup orientation="portrait" scale="95"/>
  <drawing r:id="rId1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3:B3"/>
  <sheetViews>
    <sheetView view="pageBreakPreview" workbookViewId="0" zoomScale="60" zoomScaleNormal="100">
      <selection activeCell="C63" sqref="C63"/>
    </sheetView>
  </sheetViews>
  <sheetFormatPr baseColWidth="8" defaultRowHeight="15"/>
  <sheetData>
    <row r="3">
      <c r="B3" t="inlineStr">
        <is>
          <t>This is test text description of chart on the next page</t>
        </is>
      </c>
    </row>
  </sheetData>
  <pageMargins bottom="0.75" footer="0.3" header="0.3" left="0.7" right="0.7" top="0.75"/>
  <pageSetup orientation="portrait"/>
  <drawing r:id="rId1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A1"/>
  <sheetViews>
    <sheetView workbookViewId="0" zoomScaleNormal="100">
      <selection activeCell="A5" sqref="A5"/>
    </sheetView>
  </sheetViews>
  <sheetFormatPr baseColWidth="8" defaultRowHeight="15"/>
  <sheetData/>
  <pageMargins bottom="0.75" footer="0.3" header="0.3" left="0.7" right="0.7" top="0.75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2020-01-07T23:38:49Z</dcterms:created>
  <dcterms:modified xsi:type="dcterms:W3CDTF">2020-01-15T17:58:17Z</dcterms:modified>
  <cp:lastModifiedBy>Darren Conly</cp:lastModifiedBy>
</cp:coreProperties>
</file>